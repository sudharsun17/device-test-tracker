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 Me" sheetId="2" state="visible" r:id="rId4"/>
    <sheet name="Test Cases" sheetId="3" state="visible" r:id="rId5"/>
    <sheet name="Defec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<sst xmlns="http://schemas.openxmlformats.org/spreadsheetml/2006/main" count="222" uniqueCount="173">
  <si>
    <t xml:space="preserve">Test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</si>
  <si>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</si>
  <si>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</si>
  <si>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</si>
  <si>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</si>
  <si>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run</t>
  </si>
  <si>
    <t xml:space="preserve">Executed</t>
  </si>
  <si>
    <t xml:space="preserve">Pass rate (of executed)</t>
  </si>
  <si>
    <t xml:space="preserve">Defects logged</t>
  </si>
  <si>
    <t xml:space="preserve">All values calculate from the Test Cases and Defect Log sheets.</t>
  </si>
  <si>
    <t xml:space="preserve">Smartphone Manual Test Plan &amp; Execution</t>
  </si>
  <si>
    <t xml:space="preserve">Personal project template for a manual QA / consumer device testing portfolio</t>
  </si>
  <si>
    <t xml:space="preserve">HOW TO USE (important)</t>
  </si>
  <si>
    <t xml:space="preserve">1. Set up your own phone details in the 'Device Under Test' block below (yellow cells).</t>
  </si>
  <si>
    <t xml:space="preserve">2. Open the 'Test Cases' sheet and execute each test on your real device, one at a time.</t>
  </si>
  <si>
    <t xml:space="preserve">3. Type what actually happened in 'Actual Result' and choose Pass / Fail / Blocked in 'Status'.</t>
  </si>
  <si>
    <t xml:space="preserve">4. For every Fail, add a row in 'Defect Log' and write the Defect ID in the test case row.</t>
  </si>
  <si>
    <t xml:space="preserve">5. 'Summary' updates automatically. Only list this project on your resume AFTER you have executed it.</t>
  </si>
  <si>
    <t xml:space="preserve">Yellow cells = cells you edit. Do not edit the gray/white formula cells in 'Summary'.</t>
  </si>
  <si>
    <t xml:space="preserve">Be honest: record real results only. Interviewers may ask about your findings.</t>
  </si>
  <si>
    <t xml:space="preserve">DEVICE UNDER TEST</t>
  </si>
  <si>
    <t xml:space="preserve">Device model</t>
  </si>
  <si>
    <t xml:space="preserve">OS / software version</t>
  </si>
  <si>
    <t xml:space="preserve">Tester name</t>
  </si>
  <si>
    <t xml:space="preserve">Sudharsun K</t>
  </si>
  <si>
    <t xml:space="preserve">Test start date</t>
  </si>
  <si>
    <t xml:space="preserve">Test end date</t>
  </si>
  <si>
    <t xml:space="preserve">TC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</si>
  <si>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</si>
  <si>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</si>
  <si>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</si>
  <si>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</si>
  <si>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</si>
  <si>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</si>
  <si>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</si>
  <si>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</si>
  <si>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Executed Date</t>
  </si>
  <si>
    <t xml:space="preserve">TC-001</t>
  </si>
  <si>
    <t xml:space="preserve">Power &amp; Boot</t>
  </si>
  <si>
    <t xml:space="preserve">Device powers on</t>
  </si>
  <si>
    <t xml:space="preserve">Device charged above 20%</t>
  </si>
  <si>
    <t xml:space="preserve">1. Press and hold the power button until the logo appears.
2. Wait for the lock screen.</t>
  </si>
  <si>
    <t xml:space="preserve">Device boots to the lock screen within 60 seconds.</t>
  </si>
  <si>
    <t xml:space="preserve">Not Run</t>
  </si>
  <si>
    <t xml:space="preserve">TC-002</t>
  </si>
  <si>
    <t xml:space="preserve">Device restart</t>
  </si>
  <si>
    <t xml:space="preserve">Device unlocked</t>
  </si>
  <si>
    <t xml:space="preserve">1. Hold power button.
2. Tap Restart.</t>
  </si>
  <si>
    <t xml:space="preserve">Device restarts and returns to the lock screen with no error.</t>
  </si>
  <si>
    <t xml:space="preserve">TC-003</t>
  </si>
  <si>
    <t xml:space="preserve">Display</t>
  </si>
  <si>
    <t xml:space="preserve">Screen brightness control</t>
  </si>
  <si>
    <t xml:space="preserve">1. Open quick settings.
2. Move brightness slider from minimum to maximum.</t>
  </si>
  <si>
    <t xml:space="preserve">Brightness changes smoothly and matches slider position.</t>
  </si>
  <si>
    <t xml:space="preserve">TC-004</t>
  </si>
  <si>
    <t xml:space="preserve">Auto screen rotation</t>
  </si>
  <si>
    <t xml:space="preserve">Auto-rotate enabled; a rotation-supported app open</t>
  </si>
  <si>
    <t xml:space="preserve">1. Rotate device to landscape.
2. Rotate back to portrait.</t>
  </si>
  <si>
    <t xml:space="preserve">Screen orientation changes correctly each time.</t>
  </si>
  <si>
    <t xml:space="preserve">TC-005</t>
  </si>
  <si>
    <t xml:space="preserve">Touch responsiveness</t>
  </si>
  <si>
    <t xml:space="preserve">1. Tap, swipe and pinch-zoom in the gallery app across all screen areas.</t>
  </si>
  <si>
    <t xml:space="preserve">Touch input is registered accurately in all areas.</t>
  </si>
  <si>
    <t xml:space="preserve">TC-006</t>
  </si>
  <si>
    <t xml:space="preserve">Connectivity</t>
  </si>
  <si>
    <t xml:space="preserve">Wi-Fi connection</t>
  </si>
  <si>
    <t xml:space="preserve">Wi-Fi network available</t>
  </si>
  <si>
    <t xml:space="preserve">1. Open Settings &gt; Wi-Fi.
2. Select network and enter password.
3. Open a web page.</t>
  </si>
  <si>
    <t xml:space="preserve">Device connects and the web page loads.</t>
  </si>
  <si>
    <t xml:space="preserve">TC-007</t>
  </si>
  <si>
    <t xml:space="preserve">Wi-Fi reconnect after toggle</t>
  </si>
  <si>
    <t xml:space="preserve">Connected to Wi-Fi</t>
  </si>
  <si>
    <t xml:space="preserve">1. Turn Wi-Fi off.
2. Turn Wi-Fi on.</t>
  </si>
  <si>
    <t xml:space="preserve">Device reconnects to the saved network automatically.</t>
  </si>
  <si>
    <t xml:space="preserve">TC-008</t>
  </si>
  <si>
    <t xml:space="preserve">Bluetooth pairing</t>
  </si>
  <si>
    <t xml:space="preserve">Bluetooth accessory in pairing mode</t>
  </si>
  <si>
    <t xml:space="preserve">1. Turn on Bluetooth.
2. Select the accessory from the list.</t>
  </si>
  <si>
    <t xml:space="preserve">Accessory pairs successfully and shows Connected.</t>
  </si>
  <si>
    <t xml:space="preserve">TC-009</t>
  </si>
  <si>
    <t xml:space="preserve">Bluetooth audio playback</t>
  </si>
  <si>
    <t xml:space="preserve">Accessory paired</t>
  </si>
  <si>
    <t xml:space="preserve">1. Play a music file.
2. Check audio through the accessory.</t>
  </si>
  <si>
    <t xml:space="preserve">Audio plays through the accessory without breaks.</t>
  </si>
  <si>
    <t xml:space="preserve">TC-010</t>
  </si>
  <si>
    <t xml:space="preserve">Airplane mode</t>
  </si>
  <si>
    <t xml:space="preserve">Device on Wi-Fi/mobile data</t>
  </si>
  <si>
    <t xml:space="preserve">1. Enable airplane mode.
2. Check network icons.
3. Disable airplane mode.</t>
  </si>
  <si>
    <t xml:space="preserve">All wireless connections turn off, then restore after disabling.</t>
  </si>
  <si>
    <t xml:space="preserve">TC-011</t>
  </si>
  <si>
    <t xml:space="preserve">Audio</t>
  </si>
  <si>
    <t xml:space="preserve">Volume up/down buttons</t>
  </si>
  <si>
    <t xml:space="preserve">Media playing</t>
  </si>
  <si>
    <t xml:space="preserve">1. Press volume up to maximum.
2. Press volume down to minimum.</t>
  </si>
  <si>
    <t xml:space="preserve">Volume level changes in steps and indicator matches.</t>
  </si>
  <si>
    <t xml:space="preserve">TC-012</t>
  </si>
  <si>
    <t xml:space="preserve">Speaker playback</t>
  </si>
  <si>
    <t xml:space="preserve">Audio file available</t>
  </si>
  <si>
    <t xml:space="preserve">1. Play an audio file at medium volume.</t>
  </si>
  <si>
    <t xml:space="preserve">Sound is clear with no distortion or crackling.</t>
  </si>
  <si>
    <t xml:space="preserve">TC-013</t>
  </si>
  <si>
    <t xml:space="preserve">Microphone recording</t>
  </si>
  <si>
    <t xml:space="preserve">Voice recorder app available</t>
  </si>
  <si>
    <t xml:space="preserve">1. Record a 10-second voice clip.
2. Play it back.</t>
  </si>
  <si>
    <t xml:space="preserve">Recording plays back clearly and audibly.</t>
  </si>
  <si>
    <t xml:space="preserve">TC-014</t>
  </si>
  <si>
    <t xml:space="preserve">Calls</t>
  </si>
  <si>
    <t xml:space="preserve">Outgoing call</t>
  </si>
  <si>
    <t xml:space="preserve">SIM active with network</t>
  </si>
  <si>
    <t xml:space="preserve">1. Dial a known number.
2. Speak and listen for 15 seconds.
3. End call.</t>
  </si>
  <si>
    <t xml:space="preserve">Call connects, both sides are audible, call ends cleanly.</t>
  </si>
  <si>
    <t xml:space="preserve">TC-015</t>
  </si>
  <si>
    <t xml:space="preserve">Incoming call</t>
  </si>
  <si>
    <t xml:space="preserve">SIM active</t>
  </si>
  <si>
    <t xml:space="preserve">1. Call the device from another phone.
2. Answer.</t>
  </si>
  <si>
    <t xml:space="preserve">Device rings, call can be answered and heard.</t>
  </si>
  <si>
    <t xml:space="preserve">TC-016</t>
  </si>
  <si>
    <t xml:space="preserve">Camera</t>
  </si>
  <si>
    <t xml:space="preserve">Rear camera photo</t>
  </si>
  <si>
    <t xml:space="preserve">Camera permission granted</t>
  </si>
  <si>
    <t xml:space="preserve">1. Open Camera.
2. Capture a photo.
3. Open in Gallery.</t>
  </si>
  <si>
    <t xml:space="preserve">Photo is captured, saved and displays correctly.</t>
  </si>
  <si>
    <t xml:space="preserve">TC-017</t>
  </si>
  <si>
    <t xml:space="preserve">Front camera photo</t>
  </si>
  <si>
    <t xml:space="preserve">1. Switch to front camera.
2. Capture a photo.</t>
  </si>
  <si>
    <t xml:space="preserve">TC-018</t>
  </si>
  <si>
    <t xml:space="preserve">Video recording</t>
  </si>
  <si>
    <t xml:space="preserve">1. Record a 10-second video.
2. Play it back.</t>
  </si>
  <si>
    <t xml:space="preserve">Video records with audio and plays back without errors.</t>
  </si>
  <si>
    <t xml:space="preserve">TC-019</t>
  </si>
  <si>
    <t xml:space="preserve">Battery</t>
  </si>
  <si>
    <t xml:space="preserve">Charging indicator</t>
  </si>
  <si>
    <t xml:space="preserve">Charger available</t>
  </si>
  <si>
    <t xml:space="preserve">1. Connect charger.
2. Observe battery icon and message.</t>
  </si>
  <si>
    <t xml:space="preserve">Charging indicator appears and percentage increases.</t>
  </si>
  <si>
    <t xml:space="preserve">TC-020</t>
  </si>
  <si>
    <t xml:space="preserve">Low battery warning</t>
  </si>
  <si>
    <t xml:space="preserve">Battery near 15–20%</t>
  </si>
  <si>
    <t xml:space="preserve">1. Use device until battery drops below 20%.</t>
  </si>
  <si>
    <t xml:space="preserve">A low battery warning appears.</t>
  </si>
  <si>
    <t xml:space="preserve">TC-021</t>
  </si>
  <si>
    <t xml:space="preserve">Security</t>
  </si>
  <si>
    <t xml:space="preserve">Screen lock (PIN)</t>
  </si>
  <si>
    <t xml:space="preserve">PIN lock set</t>
  </si>
  <si>
    <t xml:space="preserve">1. Lock device.
2. Enter wrong PIN.
3. Enter correct PIN.</t>
  </si>
  <si>
    <t xml:space="preserve">Wrong PIN is rejected; correct PIN unlocks the device.</t>
  </si>
  <si>
    <t xml:space="preserve">TC-022</t>
  </si>
  <si>
    <t xml:space="preserve">Biometric unlock</t>
  </si>
  <si>
    <t xml:space="preserve">Fingerprint/face registered</t>
  </si>
  <si>
    <t xml:space="preserve">1. Lock device.
2. Use fingerprint or face to unlock.</t>
  </si>
  <si>
    <t xml:space="preserve">Device unlocks with registered biometric.</t>
  </si>
  <si>
    <t xml:space="preserve">TC-023</t>
  </si>
  <si>
    <t xml:space="preserve">Settings</t>
  </si>
  <si>
    <t xml:space="preserve">Date and time update</t>
  </si>
  <si>
    <t xml:space="preserve">1. Open Settings &gt; Date &amp; time.
2. Change time zone.
3. Check the clock.</t>
  </si>
  <si>
    <t xml:space="preserve">Clock updates to the selected time zone.</t>
  </si>
  <si>
    <t xml:space="preserve">TC-024</t>
  </si>
  <si>
    <t xml:space="preserve">Apps</t>
  </si>
  <si>
    <t xml:space="preserve">App install and open</t>
  </si>
  <si>
    <t xml:space="preserve">Internet connected</t>
  </si>
  <si>
    <t xml:space="preserve">1. Install a free app from the app store.
2. Open it.</t>
  </si>
  <si>
    <t xml:space="preserve">App installs fully and opens without crash.</t>
  </si>
  <si>
    <t xml:space="preserve">TC-025</t>
  </si>
  <si>
    <t xml:space="preserve">App uninstall</t>
  </si>
  <si>
    <t xml:space="preserve">Test app installed</t>
  </si>
  <si>
    <t xml:space="preserve">1. Long-press the app.
2. Select Uninstall.</t>
  </si>
  <si>
    <t xml:space="preserve">App is removed from the device.</t>
  </si>
  <si>
    <t xml:space="preserve">Linked TC ID</t>
  </si>
  <si>
    <t xml:space="preserve">Summary</t>
  </si>
  <si>
    <t xml:space="preserve">Steps to Reproduce</t>
  </si>
  <si>
    <t xml:space="preserve">Severity</t>
  </si>
  <si>
    <t xml:space="preserve">Date Found</t>
  </si>
  <si>
    <t xml:space="preserve">Defect ID format example: DEF-001 (use only for real failures you observe)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</si>
</sst>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COUNTA('Test Cases'!A2:A26)</f>
        <v>25</v>
      </c>
    </row>
    <row r="4" customFormat="false" ht="15" hidden="false" customHeight="false" outlineLevel="0" collapsed="false">
      <c r="A4" s="2" t="s">
        <v>2</v>
      </c>
      <c r="B4" s="3" t="n">
        <f aca="false">COUNTIF('Test Cases'!H2:H26,"Pass")</f>
        <v>0</v>
      </c>
    </row>
    <row r="5" customFormat="false" ht="15" hidden="false" customHeight="false" outlineLevel="0" collapsed="false">
      <c r="A5" s="2" t="s">
        <v>3</v>
      </c>
      <c r="B5" s="3" t="n">
        <f aca="false">COUNTIF('Test Cases'!H2:H26,"Fail")</f>
        <v>0</v>
      </c>
    </row>
    <row r="6" customFormat="false" ht="15" hidden="false" customHeight="false" outlineLevel="0" collapsed="false">
      <c r="A6" s="2" t="s">
        <v>4</v>
      </c>
      <c r="B6" s="3" t="n">
        <f aca="false">COUNTIF('Test Cases'!H2:H26,"Blocked")</f>
        <v>0</v>
      </c>
    </row>
    <row r="7" customFormat="false" ht="15" hidden="false" customHeight="false" outlineLevel="0" collapsed="false">
      <c r="A7" s="2" t="s">
        <v>5</v>
      </c>
      <c r="B7" s="3" t="n">
        <f aca="false">COUNTIF('Test Cases'!H2:H26,"Not Run")</f>
        <v>25</v>
      </c>
    </row>
    <row r="8" customFormat="false" ht="15" hidden="false" customHeight="false" outlineLevel="0" collapsed="false">
      <c r="A8" s="2" t="s">
        <v>6</v>
      </c>
      <c r="B8" s="3" t="n">
        <f aca="false">B3-B7</f>
        <v>0</v>
      </c>
    </row>
    <row r="9" customFormat="false" ht="15" hidden="false" customHeight="false" outlineLevel="0" collapsed="false">
      <c r="A9" s="2" t="s">
        <v>7</v>
      </c>
      <c r="B9" s="4" t="n">
        <f aca="false">IF(B8=0,0,B4/B8)</f>
        <v>0</v>
      </c>
    </row>
    <row r="10" customFormat="false" ht="15" hidden="false" customHeight="false" outlineLevel="0" collapsed="false">
      <c r="A10" s="2" t="s">
        <v>8</v>
      </c>
      <c r="B10" s="3" t="n">
        <f aca="false">COUNTA('Defect Log'!A2:A21)</f>
        <v>0</v>
      </c>
    </row>
    <row r="12" customFormat="false" ht="15" hidden="false" customHeight="false" outlineLevel="0" collapsed="false">
      <c r="A12" s="5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35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6" t="s">
        <v>11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7" t="s">
        <v>12</v>
      </c>
    </row>
    <row r="5" customFormat="false" ht="15" hidden="false" customHeight="false" outlineLevel="0" collapsed="false">
      <c r="A5" s="6" t="s">
        <v>13</v>
      </c>
    </row>
    <row r="6" customFormat="false" ht="15" hidden="false" customHeight="false" outlineLevel="0" collapsed="false">
      <c r="A6" s="6" t="s">
        <v>14</v>
      </c>
    </row>
    <row r="7" customFormat="false" ht="15" hidden="false" customHeight="false" outlineLevel="0" collapsed="false">
      <c r="A7" s="6" t="s">
        <v>15</v>
      </c>
    </row>
    <row r="8" customFormat="false" ht="15" hidden="false" customHeight="false" outlineLevel="0" collapsed="false">
      <c r="A8" s="6" t="s">
        <v>16</v>
      </c>
    </row>
    <row r="9" customFormat="false" ht="15" hidden="false" customHeight="false" outlineLevel="0" collapsed="false">
      <c r="A9" s="6" t="s">
        <v>17</v>
      </c>
    </row>
    <row r="10" customFormat="false" ht="15" hidden="false" customHeight="false" outlineLevel="0" collapsed="false">
      <c r="A10" s="6"/>
    </row>
    <row r="11" customFormat="false" ht="15" hidden="false" customHeight="false" outlineLevel="0" collapsed="false">
      <c r="A11" s="6" t="s">
        <v>18</v>
      </c>
    </row>
    <row r="12" customFormat="false" ht="15" hidden="false" customHeight="false" outlineLevel="0" collapsed="false">
      <c r="A12" s="6" t="s">
        <v>19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7" t="s">
        <v>20</v>
      </c>
    </row>
    <row r="15" customFormat="false" ht="15" hidden="false" customHeight="false" outlineLevel="0" collapsed="false">
      <c r="A15" s="7" t="s">
        <v>21</v>
      </c>
      <c r="B15" s="8"/>
    </row>
    <row r="16" customFormat="false" ht="15" hidden="false" customHeight="false" outlineLevel="0" collapsed="false">
      <c r="A16" s="7" t="s">
        <v>22</v>
      </c>
      <c r="B16" s="8"/>
    </row>
    <row r="17" customFormat="false" ht="15" hidden="false" customHeight="false" outlineLevel="0" collapsed="false">
      <c r="A17" s="7" t="s">
        <v>23</v>
      </c>
      <c r="B17" s="8" t="s">
        <v>24</v>
      </c>
    </row>
    <row r="18" customFormat="false" ht="15" hidden="false" customHeight="false" outlineLevel="0" collapsed="false">
      <c r="A18" s="7" t="s">
        <v>25</v>
      </c>
      <c r="B18" s="8"/>
    </row>
    <row r="19" customFormat="false" ht="15" hidden="false" customHeight="false" outlineLevel="0" collapsed="false">
      <c r="A19" s="7" t="s">
        <v>26</v>
      </c>
      <c r="B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4" min="3" style="0" width="28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</row>
    <row r="2" customFormat="false" ht="23.85" hidden="false" customHeight="false" outlineLevel="0" collapsed="false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1"/>
      <c r="H2" s="11" t="s">
        <v>43</v>
      </c>
      <c r="I2" s="11"/>
      <c r="J2" s="11"/>
    </row>
    <row r="3" customFormat="false" ht="23.85" hidden="false" customHeight="false" outlineLevel="0" collapsed="false">
      <c r="A3" s="10" t="s">
        <v>44</v>
      </c>
      <c r="B3" s="10" t="s">
        <v>38</v>
      </c>
      <c r="C3" s="10" t="s">
        <v>45</v>
      </c>
      <c r="D3" s="10" t="s">
        <v>46</v>
      </c>
      <c r="E3" s="10" t="s">
        <v>47</v>
      </c>
      <c r="F3" s="10" t="s">
        <v>48</v>
      </c>
      <c r="G3" s="11"/>
      <c r="H3" s="11" t="s">
        <v>43</v>
      </c>
      <c r="I3" s="11"/>
      <c r="J3" s="11"/>
    </row>
    <row r="4" customFormat="false" ht="23.85" hidden="false" customHeight="false" outlineLevel="0" collapsed="false">
      <c r="A4" s="10" t="s">
        <v>49</v>
      </c>
      <c r="B4" s="10" t="s">
        <v>50</v>
      </c>
      <c r="C4" s="10" t="s">
        <v>51</v>
      </c>
      <c r="D4" s="10" t="s">
        <v>46</v>
      </c>
      <c r="E4" s="10" t="s">
        <v>52</v>
      </c>
      <c r="F4" s="10" t="s">
        <v>53</v>
      </c>
      <c r="G4" s="11"/>
      <c r="H4" s="11" t="s">
        <v>43</v>
      </c>
      <c r="I4" s="11"/>
      <c r="J4" s="11"/>
    </row>
    <row r="5" customFormat="false" ht="23.85" hidden="false" customHeight="false" outlineLevel="0" collapsed="false">
      <c r="A5" s="10" t="s">
        <v>54</v>
      </c>
      <c r="B5" s="10" t="s">
        <v>50</v>
      </c>
      <c r="C5" s="10" t="s">
        <v>55</v>
      </c>
      <c r="D5" s="10" t="s">
        <v>56</v>
      </c>
      <c r="E5" s="10" t="s">
        <v>57</v>
      </c>
      <c r="F5" s="10" t="s">
        <v>58</v>
      </c>
      <c r="G5" s="11"/>
      <c r="H5" s="11" t="s">
        <v>43</v>
      </c>
      <c r="I5" s="11"/>
      <c r="J5" s="11"/>
    </row>
    <row r="6" customFormat="false" ht="23.85" hidden="false" customHeight="false" outlineLevel="0" collapsed="false">
      <c r="A6" s="10" t="s">
        <v>59</v>
      </c>
      <c r="B6" s="10" t="s">
        <v>50</v>
      </c>
      <c r="C6" s="10" t="s">
        <v>60</v>
      </c>
      <c r="D6" s="10" t="s">
        <v>46</v>
      </c>
      <c r="E6" s="10" t="s">
        <v>61</v>
      </c>
      <c r="F6" s="10" t="s">
        <v>62</v>
      </c>
      <c r="G6" s="11"/>
      <c r="H6" s="11" t="s">
        <v>43</v>
      </c>
      <c r="I6" s="11"/>
      <c r="J6" s="11"/>
    </row>
    <row r="7" customFormat="false" ht="35.05" hidden="false" customHeight="false" outlineLevel="0" collapsed="false">
      <c r="A7" s="10" t="s">
        <v>63</v>
      </c>
      <c r="B7" s="10" t="s">
        <v>64</v>
      </c>
      <c r="C7" s="10" t="s">
        <v>65</v>
      </c>
      <c r="D7" s="10" t="s">
        <v>66</v>
      </c>
      <c r="E7" s="10" t="s">
        <v>67</v>
      </c>
      <c r="F7" s="10" t="s">
        <v>68</v>
      </c>
      <c r="G7" s="11"/>
      <c r="H7" s="11" t="s">
        <v>43</v>
      </c>
      <c r="I7" s="11"/>
      <c r="J7" s="11"/>
    </row>
    <row r="8" customFormat="false" ht="23.85" hidden="false" customHeight="false" outlineLevel="0" collapsed="false">
      <c r="A8" s="10" t="s">
        <v>69</v>
      </c>
      <c r="B8" s="10" t="s">
        <v>64</v>
      </c>
      <c r="C8" s="10" t="s">
        <v>70</v>
      </c>
      <c r="D8" s="10" t="s">
        <v>71</v>
      </c>
      <c r="E8" s="10" t="s">
        <v>72</v>
      </c>
      <c r="F8" s="10" t="s">
        <v>73</v>
      </c>
      <c r="G8" s="11"/>
      <c r="H8" s="11" t="s">
        <v>43</v>
      </c>
      <c r="I8" s="11"/>
      <c r="J8" s="11"/>
    </row>
    <row r="9" customFormat="false" ht="23.85" hidden="false" customHeight="false" outlineLevel="0" collapsed="false">
      <c r="A9" s="10" t="s">
        <v>74</v>
      </c>
      <c r="B9" s="10" t="s">
        <v>64</v>
      </c>
      <c r="C9" s="10" t="s">
        <v>75</v>
      </c>
      <c r="D9" s="10" t="s">
        <v>76</v>
      </c>
      <c r="E9" s="10" t="s">
        <v>77</v>
      </c>
      <c r="F9" s="10" t="s">
        <v>78</v>
      </c>
      <c r="G9" s="11"/>
      <c r="H9" s="11" t="s">
        <v>43</v>
      </c>
      <c r="I9" s="11"/>
      <c r="J9" s="11"/>
    </row>
    <row r="10" customFormat="false" ht="23.85" hidden="false" customHeight="false" outlineLevel="0" collapsed="false">
      <c r="A10" s="10" t="s">
        <v>79</v>
      </c>
      <c r="B10" s="10" t="s">
        <v>64</v>
      </c>
      <c r="C10" s="10" t="s">
        <v>80</v>
      </c>
      <c r="D10" s="10" t="s">
        <v>81</v>
      </c>
      <c r="E10" s="10" t="s">
        <v>82</v>
      </c>
      <c r="F10" s="10" t="s">
        <v>83</v>
      </c>
      <c r="G10" s="11"/>
      <c r="H10" s="11" t="s">
        <v>43</v>
      </c>
      <c r="I10" s="11"/>
      <c r="J10" s="11"/>
    </row>
    <row r="11" customFormat="false" ht="35.05" hidden="false" customHeight="false" outlineLevel="0" collapsed="false">
      <c r="A11" s="10" t="s">
        <v>84</v>
      </c>
      <c r="B11" s="10" t="s">
        <v>64</v>
      </c>
      <c r="C11" s="10" t="s">
        <v>85</v>
      </c>
      <c r="D11" s="10" t="s">
        <v>86</v>
      </c>
      <c r="E11" s="10" t="s">
        <v>87</v>
      </c>
      <c r="F11" s="10" t="s">
        <v>88</v>
      </c>
      <c r="G11" s="11"/>
      <c r="H11" s="11" t="s">
        <v>43</v>
      </c>
      <c r="I11" s="11"/>
      <c r="J11" s="11"/>
    </row>
    <row r="12" customFormat="false" ht="23.85" hidden="false" customHeight="false" outlineLevel="0" collapsed="false">
      <c r="A12" s="10" t="s">
        <v>89</v>
      </c>
      <c r="B12" s="10" t="s">
        <v>90</v>
      </c>
      <c r="C12" s="10" t="s">
        <v>91</v>
      </c>
      <c r="D12" s="10" t="s">
        <v>92</v>
      </c>
      <c r="E12" s="10" t="s">
        <v>93</v>
      </c>
      <c r="F12" s="10" t="s">
        <v>94</v>
      </c>
      <c r="G12" s="11"/>
      <c r="H12" s="11" t="s">
        <v>43</v>
      </c>
      <c r="I12" s="11"/>
      <c r="J12" s="11"/>
    </row>
    <row r="13" customFormat="false" ht="15" hidden="false" customHeight="false" outlineLevel="0" collapsed="false">
      <c r="A13" s="10" t="s">
        <v>95</v>
      </c>
      <c r="B13" s="10" t="s">
        <v>90</v>
      </c>
      <c r="C13" s="10" t="s">
        <v>96</v>
      </c>
      <c r="D13" s="10" t="s">
        <v>97</v>
      </c>
      <c r="E13" s="10" t="s">
        <v>98</v>
      </c>
      <c r="F13" s="10" t="s">
        <v>99</v>
      </c>
      <c r="G13" s="11"/>
      <c r="H13" s="11" t="s">
        <v>43</v>
      </c>
      <c r="I13" s="11"/>
      <c r="J13" s="11"/>
    </row>
    <row r="14" customFormat="false" ht="23.85" hidden="false" customHeight="false" outlineLevel="0" collapsed="false">
      <c r="A14" s="10" t="s">
        <v>100</v>
      </c>
      <c r="B14" s="10" t="s">
        <v>90</v>
      </c>
      <c r="C14" s="10" t="s">
        <v>101</v>
      </c>
      <c r="D14" s="10" t="s">
        <v>102</v>
      </c>
      <c r="E14" s="10" t="s">
        <v>103</v>
      </c>
      <c r="F14" s="10" t="s">
        <v>104</v>
      </c>
      <c r="G14" s="11"/>
      <c r="H14" s="11" t="s">
        <v>43</v>
      </c>
      <c r="I14" s="11"/>
      <c r="J14" s="11"/>
    </row>
    <row r="15" customFormat="false" ht="35.05" hidden="false" customHeight="false" outlineLevel="0" collapsed="false">
      <c r="A15" s="10" t="s">
        <v>105</v>
      </c>
      <c r="B15" s="10" t="s">
        <v>106</v>
      </c>
      <c r="C15" s="10" t="s">
        <v>107</v>
      </c>
      <c r="D15" s="10" t="s">
        <v>108</v>
      </c>
      <c r="E15" s="10" t="s">
        <v>109</v>
      </c>
      <c r="F15" s="10" t="s">
        <v>110</v>
      </c>
      <c r="G15" s="11"/>
      <c r="H15" s="11" t="s">
        <v>43</v>
      </c>
      <c r="I15" s="11"/>
      <c r="J15" s="11"/>
    </row>
    <row r="16" customFormat="false" ht="23.85" hidden="false" customHeight="false" outlineLevel="0" collapsed="false">
      <c r="A16" s="10" t="s">
        <v>111</v>
      </c>
      <c r="B16" s="10" t="s">
        <v>106</v>
      </c>
      <c r="C16" s="10" t="s">
        <v>112</v>
      </c>
      <c r="D16" s="10" t="s">
        <v>113</v>
      </c>
      <c r="E16" s="10" t="s">
        <v>114</v>
      </c>
      <c r="F16" s="10" t="s">
        <v>115</v>
      </c>
      <c r="G16" s="11"/>
      <c r="H16" s="11" t="s">
        <v>43</v>
      </c>
      <c r="I16" s="11"/>
      <c r="J16" s="11"/>
    </row>
    <row r="17" customFormat="false" ht="35.05" hidden="false" customHeight="false" outlineLevel="0" collapsed="false">
      <c r="A17" s="10" t="s">
        <v>116</v>
      </c>
      <c r="B17" s="10" t="s">
        <v>117</v>
      </c>
      <c r="C17" s="10" t="s">
        <v>118</v>
      </c>
      <c r="D17" s="10" t="s">
        <v>119</v>
      </c>
      <c r="E17" s="10" t="s">
        <v>120</v>
      </c>
      <c r="F17" s="10" t="s">
        <v>121</v>
      </c>
      <c r="G17" s="11"/>
      <c r="H17" s="11" t="s">
        <v>43</v>
      </c>
      <c r="I17" s="11"/>
      <c r="J17" s="11"/>
    </row>
    <row r="18" customFormat="false" ht="23.85" hidden="false" customHeight="false" outlineLevel="0" collapsed="false">
      <c r="A18" s="10" t="s">
        <v>122</v>
      </c>
      <c r="B18" s="10" t="s">
        <v>117</v>
      </c>
      <c r="C18" s="10" t="s">
        <v>123</v>
      </c>
      <c r="D18" s="10" t="s">
        <v>119</v>
      </c>
      <c r="E18" s="10" t="s">
        <v>124</v>
      </c>
      <c r="F18" s="10" t="s">
        <v>121</v>
      </c>
      <c r="G18" s="11"/>
      <c r="H18" s="11" t="s">
        <v>43</v>
      </c>
      <c r="I18" s="11"/>
      <c r="J18" s="11"/>
    </row>
    <row r="19" customFormat="false" ht="23.85" hidden="false" customHeight="false" outlineLevel="0" collapsed="false">
      <c r="A19" s="10" t="s">
        <v>125</v>
      </c>
      <c r="B19" s="10" t="s">
        <v>117</v>
      </c>
      <c r="C19" s="10" t="s">
        <v>126</v>
      </c>
      <c r="D19" s="10" t="s">
        <v>119</v>
      </c>
      <c r="E19" s="10" t="s">
        <v>127</v>
      </c>
      <c r="F19" s="10" t="s">
        <v>128</v>
      </c>
      <c r="G19" s="11"/>
      <c r="H19" s="11" t="s">
        <v>43</v>
      </c>
      <c r="I19" s="11"/>
      <c r="J19" s="11"/>
    </row>
    <row r="20" customFormat="false" ht="23.85" hidden="false" customHeight="false" outlineLevel="0" collapsed="false">
      <c r="A20" s="10" t="s">
        <v>129</v>
      </c>
      <c r="B20" s="10" t="s">
        <v>130</v>
      </c>
      <c r="C20" s="10" t="s">
        <v>131</v>
      </c>
      <c r="D20" s="10" t="s">
        <v>132</v>
      </c>
      <c r="E20" s="10" t="s">
        <v>133</v>
      </c>
      <c r="F20" s="10" t="s">
        <v>134</v>
      </c>
      <c r="G20" s="11"/>
      <c r="H20" s="11" t="s">
        <v>43</v>
      </c>
      <c r="I20" s="11"/>
      <c r="J20" s="11"/>
    </row>
    <row r="21" customFormat="false" ht="15" hidden="false" customHeight="false" outlineLevel="0" collapsed="false">
      <c r="A21" s="10" t="s">
        <v>135</v>
      </c>
      <c r="B21" s="10" t="s">
        <v>130</v>
      </c>
      <c r="C21" s="10" t="s">
        <v>136</v>
      </c>
      <c r="D21" s="10" t="s">
        <v>137</v>
      </c>
      <c r="E21" s="10" t="s">
        <v>138</v>
      </c>
      <c r="F21" s="10" t="s">
        <v>139</v>
      </c>
      <c r="G21" s="11"/>
      <c r="H21" s="11" t="s">
        <v>43</v>
      </c>
      <c r="I21" s="11"/>
      <c r="J21" s="11"/>
    </row>
    <row r="22" customFormat="false" ht="35.05" hidden="false" customHeight="false" outlineLevel="0" collapsed="false">
      <c r="A22" s="10" t="s">
        <v>140</v>
      </c>
      <c r="B22" s="10" t="s">
        <v>141</v>
      </c>
      <c r="C22" s="10" t="s">
        <v>142</v>
      </c>
      <c r="D22" s="10" t="s">
        <v>143</v>
      </c>
      <c r="E22" s="10" t="s">
        <v>144</v>
      </c>
      <c r="F22" s="10" t="s">
        <v>145</v>
      </c>
      <c r="G22" s="11"/>
      <c r="H22" s="11" t="s">
        <v>43</v>
      </c>
      <c r="I22" s="11"/>
      <c r="J22" s="11"/>
    </row>
    <row r="23" customFormat="false" ht="23.85" hidden="false" customHeight="false" outlineLevel="0" collapsed="false">
      <c r="A23" s="10" t="s">
        <v>146</v>
      </c>
      <c r="B23" s="10" t="s">
        <v>141</v>
      </c>
      <c r="C23" s="10" t="s">
        <v>147</v>
      </c>
      <c r="D23" s="10" t="s">
        <v>148</v>
      </c>
      <c r="E23" s="10" t="s">
        <v>149</v>
      </c>
      <c r="F23" s="10" t="s">
        <v>150</v>
      </c>
      <c r="G23" s="11"/>
      <c r="H23" s="11" t="s">
        <v>43</v>
      </c>
      <c r="I23" s="11"/>
      <c r="J23" s="11"/>
    </row>
    <row r="24" customFormat="false" ht="35.05" hidden="false" customHeight="false" outlineLevel="0" collapsed="false">
      <c r="A24" s="10" t="s">
        <v>151</v>
      </c>
      <c r="B24" s="10" t="s">
        <v>152</v>
      </c>
      <c r="C24" s="10" t="s">
        <v>153</v>
      </c>
      <c r="D24" s="10" t="s">
        <v>46</v>
      </c>
      <c r="E24" s="10" t="s">
        <v>154</v>
      </c>
      <c r="F24" s="10" t="s">
        <v>155</v>
      </c>
      <c r="G24" s="11"/>
      <c r="H24" s="11" t="s">
        <v>43</v>
      </c>
      <c r="I24" s="11"/>
      <c r="J24" s="11"/>
    </row>
    <row r="25" customFormat="false" ht="23.85" hidden="false" customHeight="false" outlineLevel="0" collapsed="false">
      <c r="A25" s="10" t="s">
        <v>156</v>
      </c>
      <c r="B25" s="10" t="s">
        <v>157</v>
      </c>
      <c r="C25" s="10" t="s">
        <v>158</v>
      </c>
      <c r="D25" s="10" t="s">
        <v>159</v>
      </c>
      <c r="E25" s="10" t="s">
        <v>160</v>
      </c>
      <c r="F25" s="10" t="s">
        <v>161</v>
      </c>
      <c r="G25" s="11"/>
      <c r="H25" s="11" t="s">
        <v>43</v>
      </c>
      <c r="I25" s="11"/>
      <c r="J25" s="11"/>
    </row>
    <row r="26" customFormat="false" ht="23.85" hidden="false" customHeight="false" outlineLevel="0" collapsed="false">
      <c r="A26" s="10" t="s">
        <v>162</v>
      </c>
      <c r="B26" s="10" t="s">
        <v>157</v>
      </c>
      <c r="C26" s="10" t="s">
        <v>163</v>
      </c>
      <c r="D26" s="10" t="s">
        <v>164</v>
      </c>
      <c r="E26" s="10" t="s">
        <v>165</v>
      </c>
      <c r="F26" s="10" t="s">
        <v>166</v>
      </c>
      <c r="G26" s="11"/>
      <c r="H26" s="11" t="s">
        <v>43</v>
      </c>
      <c r="I26" s="11"/>
      <c r="J26" s="11"/>
    </row>
  </sheetData>
  <conditionalFormatting sqref="H2:H2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Style="stop" operator="between" showDropDown="false" showErrorMessage="false" showInputMessage="false" sqref="H2:H26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6" min="5" style="0" width="3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6.85" hidden="false" customHeight="false" outlineLevel="0" collapsed="false">
      <c r="A1" s="9" t="s">
        <v>35</v>
      </c>
      <c r="B1" s="9" t="s">
        <v>167</v>
      </c>
      <c r="C1" s="9" t="s">
        <v>168</v>
      </c>
      <c r="D1" s="9" t="s">
        <v>169</v>
      </c>
      <c r="E1" s="9" t="s">
        <v>32</v>
      </c>
      <c r="F1" s="9" t="s">
        <v>33</v>
      </c>
      <c r="G1" s="9" t="s">
        <v>170</v>
      </c>
      <c r="H1" s="9" t="s">
        <v>34</v>
      </c>
      <c r="I1" s="9" t="s">
        <v>171</v>
      </c>
      <c r="K1" s="5" t="s">
        <v>172</v>
      </c>
    </row>
    <row r="2" customFormat="false" ht="1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</sheetData>
  <dataValidations count="2">
    <dataValidation allowBlank="false" errorStyle="stop" operator="between" showDropDown="false" showErrorMessage="false" showInputMessage="false" sqref="G2:G21" type="list">
      <formula1>"Critical,Major,Minor,Cosmetic"</formula1>
      <formula2>0</formula2>
    </dataValidation>
    <dataValidation allowBlank="false" errorStyle="stop" operator="between" showDropDown="false" showErrorMessage="false" showInputMessage="false" sqref="H2:H21" type="list">
      <formula1>"Open,Fixed,Retested,Closed"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2026-10-18T02:10:07Z</dcterms:created>
  <dc:creator>openpyxl</dc:creator>
  <dc:description/>
  <dc:language>en-US</dc:language>
  <cp:lastModifiedBy/>
  <dcterms:modified xsi:type="dcterms:W3CDTF">2026-10-18T02:10:07Z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